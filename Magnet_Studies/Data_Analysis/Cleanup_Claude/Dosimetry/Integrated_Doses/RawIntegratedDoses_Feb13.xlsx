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mb/Documents/"/>
    </mc:Choice>
  </mc:AlternateContent>
  <xr:revisionPtr revIDLastSave="0" documentId="13_ncr:40009_{0F4502E0-FBB9-E949-9E42-E210943FF87B}" xr6:coauthVersionLast="47" xr6:coauthVersionMax="47" xr10:uidLastSave="{00000000-0000-0000-0000-000000000000}"/>
  <bookViews>
    <workbookView xWindow="4300" yWindow="2700" windowWidth="27640" windowHeight="16940" firstSheet="1" activeTab="1" xr2:uid="{00000000-000D-0000-FFFF-FFFF00000000}"/>
  </bookViews>
  <sheets>
    <sheet name="RawIntegratedDoses_Feb13" sheetId="1" r:id="rId1"/>
    <sheet name="RawIntegratedDoses_Feb13_Aga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/>
  <c r="E4" i="1"/>
  <c r="G4" i="1"/>
  <c r="D6" i="1"/>
  <c r="F6" i="1"/>
  <c r="E7" i="1"/>
  <c r="G7" i="1"/>
  <c r="D9" i="1"/>
  <c r="F9" i="1"/>
  <c r="E10" i="1"/>
  <c r="G10" i="1"/>
  <c r="D12" i="1"/>
  <c r="F12" i="1"/>
  <c r="E13" i="1"/>
  <c r="G13" i="1"/>
  <c r="D15" i="1"/>
  <c r="F15" i="1"/>
  <c r="E16" i="1"/>
  <c r="G16" i="1"/>
  <c r="D18" i="1"/>
  <c r="F18" i="1"/>
  <c r="E19" i="1"/>
  <c r="G19" i="1"/>
  <c r="D21" i="1"/>
  <c r="H21" i="1"/>
  <c r="E22" i="1"/>
  <c r="I22" i="1"/>
  <c r="D24" i="1"/>
  <c r="H24" i="1"/>
  <c r="E25" i="1"/>
  <c r="I25" i="1"/>
  <c r="D27" i="1"/>
  <c r="H27" i="1"/>
  <c r="E28" i="1"/>
  <c r="I28" i="1"/>
  <c r="D30" i="1"/>
  <c r="H30" i="1"/>
  <c r="E31" i="1"/>
  <c r="I31" i="1"/>
  <c r="D33" i="1"/>
  <c r="H33" i="1"/>
  <c r="E34" i="1"/>
  <c r="I34" i="1"/>
  <c r="D36" i="1"/>
  <c r="H36" i="1"/>
  <c r="E37" i="1"/>
  <c r="I37" i="1"/>
  <c r="D39" i="1"/>
  <c r="H39" i="1"/>
  <c r="E40" i="1"/>
  <c r="I40" i="1"/>
  <c r="D42" i="1"/>
  <c r="E43" i="1"/>
  <c r="I40" i="2"/>
  <c r="I37" i="2"/>
  <c r="I34" i="2"/>
  <c r="I31" i="2"/>
  <c r="I28" i="2"/>
  <c r="I25" i="2"/>
  <c r="I22" i="2"/>
  <c r="H39" i="2"/>
  <c r="H36" i="2"/>
  <c r="H33" i="2"/>
  <c r="H30" i="2"/>
  <c r="H27" i="2"/>
  <c r="H24" i="2"/>
  <c r="H21" i="2"/>
  <c r="G19" i="2"/>
  <c r="G16" i="2"/>
  <c r="G13" i="2"/>
  <c r="G10" i="2"/>
  <c r="G7" i="2"/>
  <c r="G4" i="2"/>
  <c r="F18" i="2"/>
  <c r="F15" i="2"/>
  <c r="F12" i="2"/>
  <c r="F9" i="2"/>
  <c r="F6" i="2"/>
  <c r="F3" i="2"/>
  <c r="D3" i="2"/>
  <c r="E43" i="2"/>
  <c r="E40" i="2"/>
  <c r="E37" i="2"/>
  <c r="E34" i="2"/>
  <c r="E31" i="2"/>
  <c r="E28" i="2"/>
  <c r="E25" i="2"/>
  <c r="E22" i="2"/>
  <c r="E19" i="2"/>
  <c r="E16" i="2"/>
  <c r="E13" i="2"/>
  <c r="E10" i="2"/>
  <c r="E7" i="2"/>
  <c r="E4" i="2"/>
  <c r="D42" i="2"/>
  <c r="D39" i="2"/>
  <c r="D36" i="2"/>
  <c r="D33" i="2"/>
  <c r="D30" i="2"/>
  <c r="D27" i="2"/>
  <c r="D24" i="2"/>
  <c r="D21" i="2"/>
  <c r="D18" i="2"/>
  <c r="D15" i="2"/>
  <c r="D12" i="2"/>
  <c r="D9" i="2"/>
  <c r="D6" i="2"/>
</calcChain>
</file>

<file path=xl/sharedStrings.xml><?xml version="1.0" encoding="utf-8"?>
<sst xmlns="http://schemas.openxmlformats.org/spreadsheetml/2006/main" count="164" uniqueCount="43">
  <si>
    <t>Place</t>
  </si>
  <si>
    <t>Type</t>
  </si>
  <si>
    <t>REM/hr (integrated by seconds)</t>
  </si>
  <si>
    <t>Overall Rank Gamma</t>
  </si>
  <si>
    <t>Overall Rank Neutrons</t>
  </si>
  <si>
    <t>NL Rank Gamma</t>
  </si>
  <si>
    <t>NL Rank Neutrons</t>
  </si>
  <si>
    <t>SL Rank Gamma</t>
  </si>
  <si>
    <t>SL Rank Neutrons</t>
  </si>
  <si>
    <t>Feb13_1L07_Gamma_Neutron_Integrated.txt</t>
  </si>
  <si>
    <t xml:space="preserve">Integrated sum </t>
  </si>
  <si>
    <t>Gamma</t>
  </si>
  <si>
    <t>Neutron</t>
  </si>
  <si>
    <t>NL</t>
  </si>
  <si>
    <t>Feb13_1L11_Gamma_Neutron_Integrated.txt</t>
  </si>
  <si>
    <t>SL</t>
  </si>
  <si>
    <t>Other</t>
  </si>
  <si>
    <t>Feb13_1L15_Gamma_Neutron_Integrated.txt</t>
  </si>
  <si>
    <t>Feb13_1L23_Gamma_Neutron_Integrated.txt</t>
  </si>
  <si>
    <t>Feb13_1L24_Gamma_Neutron_Integrated.txt</t>
  </si>
  <si>
    <t>Feb13_1L26_Gamma_Neutron_Integrated.txt</t>
  </si>
  <si>
    <t>Feb13_2L04_Gamma_Neutron_Integrated.txt</t>
  </si>
  <si>
    <t>Feb13_2L07_Gamma_Neutron_Integrated.txt</t>
  </si>
  <si>
    <t>Feb13_2L08_Gamma_Neutron_Integrated.txt</t>
  </si>
  <si>
    <t>Feb13_2L17_Gamma_Neutron_Integrated.txt</t>
  </si>
  <si>
    <t>Feb13_2L22_Gamma_Neutron_Integrated.txt</t>
  </si>
  <si>
    <t>Feb13_2L23_Gamma_Neutron_Integrated.txt</t>
  </si>
  <si>
    <t>Feb13_2L24_Gamma_Neutron_Integrated.txt</t>
  </si>
  <si>
    <t>Feb13_2S01_Gamma_Neutron_Integrated.txt</t>
  </si>
  <si>
    <t>Feb13_1L07_Gamma_Neutron_Integrated_Again.txt</t>
  </si>
  <si>
    <t>Feb13_1L11_Gamma_Neutron_Integrated_Again.txt</t>
  </si>
  <si>
    <t>Feb13_1L15_Gamma_Neutron_Integrated_Again.txt</t>
  </si>
  <si>
    <t>Feb13_1L23_Gamma_Neutron_Integrated_Again.txt</t>
  </si>
  <si>
    <t>Feb13_1L24_Gamma_Neutron_Integrated_Again.txt</t>
  </si>
  <si>
    <t>Feb13_1L26_Gamma_Neutron_Integrated_Again.txt</t>
  </si>
  <si>
    <t>Feb13_2L04_Gamma_Neutron_Integrated_Again.txt</t>
  </si>
  <si>
    <t>Feb13_2L07_Gamma_Neutron_Integrated_Again.txt</t>
  </si>
  <si>
    <t>Feb13_2L08_Gamma_Neutron_Integrated_Again.txt</t>
  </si>
  <si>
    <t>Feb13_2L17_Gamma_Neutron_Integrated_Again.txt</t>
  </si>
  <si>
    <t>Feb13_2L22_Gamma_Neutron_Integrated_Again.txt</t>
  </si>
  <si>
    <t>Feb13_2L23_Gamma_Neutron_Integrated_Again.txt</t>
  </si>
  <si>
    <t>Feb13_2L24_Gamma_Neutron_Integrated_Again.txt</t>
  </si>
  <si>
    <t>Feb13_2S01_Gamma_Neutron_Integrated_Again.txt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</si>
</sst>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6" fillId="0" borderId="0" xfId="0" applyFont="1"/>
    <xf numFmtId="0" fontId="16" fillId="33" borderId="10" xfId="0" applyFont="1" applyFill="1" applyBorder="1"/>
    <xf numFmtId="164" fontId="0" fillId="33" borderId="10" xfId="0" applyNumberFormat="1" applyFill="1" applyBorder="1"/>
    <xf numFmtId="0" fontId="0" fillId="33" borderId="10" xfId="0" applyFill="1" applyBorder="1"/>
    <xf numFmtId="0" fontId="16" fillId="34" borderId="10" xfId="0" applyFont="1" applyFill="1" applyBorder="1"/>
    <xf numFmtId="164" fontId="0" fillId="34" borderId="10" xfId="0" applyNumberFormat="1" applyFill="1" applyBorder="1"/>
    <xf numFmtId="0" fontId="0" fillId="34" borderId="10" xfId="0" applyFill="1" applyBorder="1"/>
    <xf numFmtId="0" fontId="16" fillId="35" borderId="10" xfId="0" applyFont="1" applyFill="1" applyBorder="1"/>
    <xf numFmtId="164" fontId="16" fillId="35" borderId="10" xfId="0" applyNumberFormat="1" applyFont="1" applyFill="1" applyBorder="1"/>
    <xf numFmtId="164" fontId="0" fillId="35" borderId="10" xfId="0" applyNumberFormat="1" applyFill="1" applyBorder="1"/>
    <xf numFmtId="0" fontId="0" fillId="35" borderId="10" xfId="0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workbookViewId="0">
      <selection activeCell="K4" sqref="K4:L6"/>
    </sheetView>
  </sheetViews>
  <sheetFormatPr defaultColWidth="11" defaultRowHeight="15.95"/>
  <cols>
    <col min="1" max="1" width="39.5" style="2" bestFit="1" customWidth="1"/>
    <col min="2" max="2" width="10.875" style="2"/>
    <col min="3" max="3" width="27.875" style="1" bestFit="1" customWidth="1"/>
    <col min="4" max="4" width="19.125" bestFit="1" customWidth="1"/>
    <col min="5" max="5" width="20" bestFit="1" customWidth="1"/>
    <col min="6" max="6" width="15.125" bestFit="1" customWidth="1"/>
    <col min="7" max="7" width="16" bestFit="1" customWidth="1"/>
    <col min="8" max="8" width="14.875" bestFit="1" customWidth="1"/>
    <col min="9" max="9" width="15.625" bestFit="1" customWidth="1"/>
  </cols>
  <sheetData>
    <row r="1" spans="1:12">
      <c r="A1" s="14" t="s">
        <v>0</v>
      </c>
      <c r="B1" s="14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12">
      <c r="A2" s="9" t="s">
        <v>9</v>
      </c>
      <c r="B2" s="9"/>
      <c r="C2" s="10"/>
      <c r="D2" s="9"/>
      <c r="E2" s="9"/>
      <c r="F2" s="9"/>
      <c r="G2" s="9"/>
      <c r="H2" s="9"/>
      <c r="I2" s="9"/>
    </row>
    <row r="3" spans="1:12">
      <c r="A3" s="9" t="s">
        <v>10</v>
      </c>
      <c r="B3" s="9" t="s">
        <v>11</v>
      </c>
      <c r="C3" s="11">
        <v>62643264</v>
      </c>
      <c r="D3" s="12">
        <f>RANK(C3,($C$3,$C6,$C$9,$C$12,$C$15,$C$18,$C$21,$C$24,$C$27,$C$30,$C$33,$C$36,$C$39,$C$42),0)</f>
        <v>3</v>
      </c>
      <c r="E3" s="12"/>
      <c r="F3" s="12">
        <f>RANK(C3,($C$3,$C6,$C$9,$C$12,$C$15,$C$18),0)</f>
        <v>2</v>
      </c>
      <c r="G3" s="12"/>
      <c r="H3" s="12"/>
      <c r="I3" s="12"/>
    </row>
    <row r="4" spans="1:12">
      <c r="A4" s="9" t="s">
        <v>10</v>
      </c>
      <c r="B4" s="9" t="s">
        <v>12</v>
      </c>
      <c r="C4" s="11">
        <v>1099690</v>
      </c>
      <c r="D4" s="12"/>
      <c r="E4" s="12">
        <f>RANK(C4,($C$4,$C7,$C$10,$C$13,$C$16,$C$19,$C$22,$C$25,$C$28,$C$31,$C$34,$C$37,$C$40,$C$43),0)</f>
        <v>7</v>
      </c>
      <c r="F4" s="12"/>
      <c r="G4" s="12">
        <f>RANK(C4,($C$4,$C7,$C$10,$C$13,$C$16,$C$19,$C$22),0)</f>
        <v>4</v>
      </c>
      <c r="H4" s="12"/>
      <c r="I4" s="12"/>
      <c r="K4" s="12"/>
      <c r="L4" t="s">
        <v>13</v>
      </c>
    </row>
    <row r="5" spans="1:12">
      <c r="A5" s="9" t="s">
        <v>14</v>
      </c>
      <c r="B5" s="9"/>
      <c r="C5" s="11"/>
      <c r="D5" s="12"/>
      <c r="E5" s="12"/>
      <c r="F5" s="12"/>
      <c r="G5" s="12"/>
      <c r="H5" s="12"/>
      <c r="I5" s="12"/>
      <c r="K5" s="8"/>
      <c r="L5" t="s">
        <v>15</v>
      </c>
    </row>
    <row r="6" spans="1:12">
      <c r="A6" s="9" t="s">
        <v>10</v>
      </c>
      <c r="B6" s="9" t="s">
        <v>11</v>
      </c>
      <c r="C6" s="11">
        <v>69766700</v>
      </c>
      <c r="D6" s="12">
        <f>RANK(C6,($C$3,$C6,$C$9,$C$12,$C$15,$C$18,$C$21,$C$24,$C$27,$C$30,$C$33,$C$36,$C$39,$C$42),0)</f>
        <v>2</v>
      </c>
      <c r="E6" s="12"/>
      <c r="F6" s="12">
        <f>RANK(C6,($C$3,$C6,$C$9,$C$12,$C$15,$C$18),0)</f>
        <v>1</v>
      </c>
      <c r="G6" s="12"/>
      <c r="H6" s="12"/>
      <c r="I6" s="12"/>
      <c r="K6" s="5"/>
      <c r="L6" t="s">
        <v>16</v>
      </c>
    </row>
    <row r="7" spans="1:12">
      <c r="A7" s="9" t="s">
        <v>10</v>
      </c>
      <c r="B7" s="9" t="s">
        <v>12</v>
      </c>
      <c r="C7" s="11">
        <v>2593175.9</v>
      </c>
      <c r="D7" s="12"/>
      <c r="E7" s="12">
        <f>RANK(C7,($C$4,$C7,$C$10,$C$13,$C$16,$C$19,$C$22,$C$25,$C$28,$C$31,$C$34,$C$37,$C$40,$C$43),0)</f>
        <v>4</v>
      </c>
      <c r="F7" s="12"/>
      <c r="G7" s="12">
        <f>RANK(C7,($C$4,$C7,$C$10,$C$13,$C$16,$C$19,$C$22),0)</f>
        <v>2</v>
      </c>
      <c r="H7" s="12"/>
      <c r="I7" s="12"/>
    </row>
    <row r="8" spans="1:12">
      <c r="A8" s="9" t="s">
        <v>17</v>
      </c>
      <c r="B8" s="9"/>
      <c r="C8" s="11"/>
      <c r="D8" s="12"/>
      <c r="E8" s="12"/>
      <c r="F8" s="12"/>
      <c r="G8" s="12"/>
      <c r="H8" s="12"/>
      <c r="I8" s="12"/>
    </row>
    <row r="9" spans="1:12">
      <c r="A9" s="9" t="s">
        <v>10</v>
      </c>
      <c r="B9" s="9" t="s">
        <v>11</v>
      </c>
      <c r="C9" s="11">
        <v>7761059.9000000004</v>
      </c>
      <c r="D9" s="12">
        <f>RANK(C9,($C$3,$C6,$C$9,$C$12,$C$15,$C$18,$C$21,$C$24,$C$27,$C$30,$C$33,$C$36,$C$39,$C$42),0)</f>
        <v>11</v>
      </c>
      <c r="E9" s="12"/>
      <c r="F9" s="12">
        <f>RANK(C9,($C$3,$C6,$C$9,$C$12,$C$15,$C$18),0)</f>
        <v>6</v>
      </c>
      <c r="G9" s="12"/>
      <c r="H9" s="12"/>
      <c r="I9" s="12"/>
    </row>
    <row r="10" spans="1:12">
      <c r="A10" s="9" t="s">
        <v>10</v>
      </c>
      <c r="B10" s="9" t="s">
        <v>12</v>
      </c>
      <c r="C10" s="11">
        <v>9814.1481000000003</v>
      </c>
      <c r="D10" s="12"/>
      <c r="E10" s="12">
        <f>RANK(C10,($C$4,$C7,$C$10,$C$13,$C$16,$C$19,$C$22,$C$25,$C$28,$C$31,$C$34,$C$37,$C$40,$C$43),0)</f>
        <v>10</v>
      </c>
      <c r="F10" s="12"/>
      <c r="G10" s="12">
        <f>RANK(C10,($C$4,$C7,$C$10,$C$13,$C$16,$C$19,$C$22),0)</f>
        <v>6</v>
      </c>
      <c r="H10" s="12"/>
      <c r="I10" s="12"/>
    </row>
    <row r="11" spans="1:12">
      <c r="A11" s="9" t="s">
        <v>18</v>
      </c>
      <c r="B11" s="9"/>
      <c r="C11" s="11"/>
      <c r="D11" s="12"/>
      <c r="E11" s="12"/>
      <c r="F11" s="12"/>
      <c r="G11" s="12"/>
      <c r="H11" s="12"/>
      <c r="I11" s="12"/>
    </row>
    <row r="12" spans="1:12">
      <c r="A12" s="9" t="s">
        <v>10</v>
      </c>
      <c r="B12" s="9" t="s">
        <v>11</v>
      </c>
      <c r="C12" s="11">
        <v>29032348</v>
      </c>
      <c r="D12" s="12">
        <f>RANK(C12,($C$3,$C6,$C$9,$C$12,$C$15,$C$18,$C$21,$C$24,$C$27,$C$30,$C$33,$C$36,$C$39,$C$42),0)</f>
        <v>8</v>
      </c>
      <c r="E12" s="12"/>
      <c r="F12" s="12">
        <f>RANK(C12,($C$3,$C6,$C$9,$C$12,$C$15,$C$18),0)</f>
        <v>4</v>
      </c>
      <c r="G12" s="12"/>
      <c r="H12" s="12"/>
      <c r="I12" s="12"/>
    </row>
    <row r="13" spans="1:12">
      <c r="A13" s="9" t="s">
        <v>10</v>
      </c>
      <c r="B13" s="9" t="s">
        <v>12</v>
      </c>
      <c r="C13" s="11">
        <v>3479014.1</v>
      </c>
      <c r="D13" s="12"/>
      <c r="E13" s="12">
        <f>RANK(C13,($C$4,$C7,$C$10,$C$13,$C$16,$C$19,$C$22,$C$25,$C$28,$C$31,$C$34,$C$37,$C$40,$C$43),0)</f>
        <v>3</v>
      </c>
      <c r="F13" s="12"/>
      <c r="G13" s="12">
        <f>RANK(C13,($C$4,$C7,$C$10,$C$13,$C$16,$C$19,$C$22),0)</f>
        <v>1</v>
      </c>
      <c r="H13" s="12"/>
      <c r="I13" s="12"/>
    </row>
    <row r="14" spans="1:12">
      <c r="A14" s="9" t="s">
        <v>19</v>
      </c>
      <c r="B14" s="9"/>
      <c r="C14" s="11"/>
      <c r="D14" s="12"/>
      <c r="E14" s="12"/>
      <c r="F14" s="12"/>
      <c r="G14" s="12"/>
      <c r="H14" s="12"/>
      <c r="I14" s="12"/>
    </row>
    <row r="15" spans="1:12">
      <c r="A15" s="9" t="s">
        <v>10</v>
      </c>
      <c r="B15" s="9" t="s">
        <v>11</v>
      </c>
      <c r="C15" s="11">
        <v>35272503</v>
      </c>
      <c r="D15" s="12">
        <f>RANK(C15,($C$3,$C6,$C$9,$C$12,$C$15,$C$18,$C$21,$C$24,$C$27,$C$30,$C$33,$C$36,$C$39,$C$42),0)</f>
        <v>6</v>
      </c>
      <c r="E15" s="12"/>
      <c r="F15" s="12">
        <f>RANK(C15,($C$3,$C6,$C$9,$C$12,$C$15,$C$18),0)</f>
        <v>3</v>
      </c>
      <c r="G15" s="12"/>
      <c r="H15" s="12"/>
      <c r="I15" s="12"/>
    </row>
    <row r="16" spans="1:12">
      <c r="A16" s="9" t="s">
        <v>10</v>
      </c>
      <c r="B16" s="9" t="s">
        <v>12</v>
      </c>
      <c r="C16" s="11">
        <v>2311832.2000000002</v>
      </c>
      <c r="D16" s="12"/>
      <c r="E16" s="12">
        <f>RANK(C16,($C$4,$C7,$C$10,$C$13,$C$16,$C$19,$C$22,$C$25,$C$28,$C$31,$C$34,$C$37,$C$40,$C$43),0)</f>
        <v>6</v>
      </c>
      <c r="F16" s="12"/>
      <c r="G16" s="12">
        <f>RANK(C16,($C$4,$C7,$C$10,$C$13,$C$16,$C$19,$C$22),0)</f>
        <v>3</v>
      </c>
      <c r="H16" s="12"/>
      <c r="I16" s="12"/>
    </row>
    <row r="17" spans="1:9">
      <c r="A17" s="9" t="s">
        <v>20</v>
      </c>
      <c r="B17" s="9"/>
      <c r="C17" s="11"/>
      <c r="D17" s="12"/>
      <c r="E17" s="12"/>
      <c r="F17" s="12"/>
      <c r="G17" s="12"/>
      <c r="H17" s="12"/>
      <c r="I17" s="12"/>
    </row>
    <row r="18" spans="1:9">
      <c r="A18" s="9" t="s">
        <v>10</v>
      </c>
      <c r="B18" s="9" t="s">
        <v>11</v>
      </c>
      <c r="C18" s="11">
        <v>15832888</v>
      </c>
      <c r="D18" s="12">
        <f>RANK(C18,($C$3,$C6,$C$9,$C$12,$C$15,$C$18,$C$21,$C$24,$C$27,$C$30,$C$33,$C$36,$C$39,$C$42),0)</f>
        <v>9</v>
      </c>
      <c r="E18" s="12"/>
      <c r="F18" s="12">
        <f>RANK(C18,($C$3,$C6,$C$9,$C$12,$C$15,$C$18),0)</f>
        <v>5</v>
      </c>
      <c r="G18" s="12"/>
      <c r="H18" s="12"/>
      <c r="I18" s="12"/>
    </row>
    <row r="19" spans="1:9">
      <c r="A19" s="9" t="s">
        <v>10</v>
      </c>
      <c r="B19" s="9" t="s">
        <v>12</v>
      </c>
      <c r="C19" s="11">
        <v>602355.89</v>
      </c>
      <c r="D19" s="12"/>
      <c r="E19" s="12">
        <f>RANK(C19,($C$4,$C7,$C$10,$C$13,$C$16,$C$19,$C$22,$C$25,$C$28,$C$31,$C$34,$C$37,$C$40,$C$43),0)</f>
        <v>8</v>
      </c>
      <c r="F19" s="12"/>
      <c r="G19" s="12">
        <f>RANK(C19,($C$4,$C7,$C$10,$C$13,$C$16,$C$19,$C$22),0)</f>
        <v>5</v>
      </c>
      <c r="H19" s="12"/>
      <c r="I19" s="12"/>
    </row>
    <row r="20" spans="1:9">
      <c r="A20" s="6" t="s">
        <v>21</v>
      </c>
      <c r="B20" s="6"/>
      <c r="C20" s="7"/>
      <c r="D20" s="8"/>
      <c r="E20" s="8"/>
      <c r="F20" s="8"/>
      <c r="G20" s="8"/>
      <c r="H20" s="8"/>
      <c r="I20" s="8"/>
    </row>
    <row r="21" spans="1:9">
      <c r="A21" s="6" t="s">
        <v>10</v>
      </c>
      <c r="B21" s="6" t="s">
        <v>11</v>
      </c>
      <c r="C21" s="7">
        <v>840166.21</v>
      </c>
      <c r="D21" s="8">
        <f>RANK(C21,($C$3,$C6,$C$9,$C$12,$C$15,$C$18,$C$21,$C$24,$C$27,$C$30,$C$33,$C$36,$C$39,$C$42),0)</f>
        <v>13</v>
      </c>
      <c r="E21" s="8"/>
      <c r="F21" s="8"/>
      <c r="G21" s="8"/>
      <c r="H21" s="8">
        <f>RANK(C21,($C$21,$C$24,$C$27,$C$30,$C$33,$C$36,$C$39),0)</f>
        <v>7</v>
      </c>
      <c r="I21" s="8"/>
    </row>
    <row r="22" spans="1:9">
      <c r="A22" s="6" t="s">
        <v>10</v>
      </c>
      <c r="B22" s="6" t="s">
        <v>12</v>
      </c>
      <c r="C22" s="7">
        <v>-3.6515987E+22</v>
      </c>
      <c r="D22" s="8"/>
      <c r="E22" s="8">
        <f>RANK(C22,($C$4,$C7,$C$10,$C$13,$C$16,$C$19,$C$22,$C$25,$C$28,$C$31,$C$34,$C$37,$C$40,$C$43),0)</f>
        <v>14</v>
      </c>
      <c r="F22" s="8"/>
      <c r="G22" s="8"/>
      <c r="H22" s="8"/>
      <c r="I22" s="8">
        <f>RANK(C22,($C$22,$C$25,$C$28,$C$31,$C$34,$C$37,$C$40),0)</f>
        <v>7</v>
      </c>
    </row>
    <row r="23" spans="1:9">
      <c r="A23" s="6" t="s">
        <v>22</v>
      </c>
      <c r="B23" s="6"/>
      <c r="C23" s="7"/>
      <c r="D23" s="8"/>
      <c r="E23" s="8"/>
      <c r="F23" s="8"/>
      <c r="G23" s="8"/>
      <c r="H23" s="8"/>
      <c r="I23" s="8"/>
    </row>
    <row r="24" spans="1:9">
      <c r="A24" s="6" t="s">
        <v>10</v>
      </c>
      <c r="B24" s="6" t="s">
        <v>11</v>
      </c>
      <c r="C24" s="7">
        <v>9231420.9000000004</v>
      </c>
      <c r="D24" s="8">
        <f>RANK(C24,($C$3,$C6,$C$9,$C$12,$C$15,$C$18,$C$21,$C$24,$C$27,$C$30,$C$33,$C$36,$C$39,$C$42),0)</f>
        <v>10</v>
      </c>
      <c r="E24" s="8"/>
      <c r="F24" s="8"/>
      <c r="G24" s="8"/>
      <c r="H24" s="8">
        <f>RANK(C24,($C$21,$C$24,$C$27,$C$30,$C$33,$C$36,$C$39),0)</f>
        <v>5</v>
      </c>
      <c r="I24" s="8"/>
    </row>
    <row r="25" spans="1:9">
      <c r="A25" s="6" t="s">
        <v>10</v>
      </c>
      <c r="B25" s="6" t="s">
        <v>12</v>
      </c>
      <c r="C25" s="7">
        <v>4036.933</v>
      </c>
      <c r="D25" s="8"/>
      <c r="E25" s="8">
        <f>RANK(C25,($C$4,$C7,$C$10,$C$13,$C$16,$C$19,$C$22,$C$25,$C$28,$C$31,$C$34,$C$37,$C$40,$C$43),0)</f>
        <v>12</v>
      </c>
      <c r="F25" s="8"/>
      <c r="G25" s="8"/>
      <c r="H25" s="8"/>
      <c r="I25" s="8">
        <f>RANK(C25,($C$22,$C$25,$C$28,$C$31,$C$34,$C$37,$C$40),0)</f>
        <v>5</v>
      </c>
    </row>
    <row r="26" spans="1:9">
      <c r="A26" s="6" t="s">
        <v>23</v>
      </c>
      <c r="B26" s="6"/>
      <c r="C26" s="7"/>
      <c r="D26" s="8"/>
      <c r="E26" s="8"/>
      <c r="F26" s="8"/>
      <c r="G26" s="8"/>
      <c r="H26" s="8"/>
      <c r="I26" s="8"/>
    </row>
    <row r="27" spans="1:9">
      <c r="A27" s="6" t="s">
        <v>10</v>
      </c>
      <c r="B27" s="6" t="s">
        <v>11</v>
      </c>
      <c r="C27" s="7">
        <v>6445311600000</v>
      </c>
      <c r="D27" s="8">
        <f>RANK(C27,($C$3,$C6,$C$9,$C$12,$C$15,$C$18,$C$21,$C$24,$C$27,$C$30,$C$33,$C$36,$C$39,$C$42),0)</f>
        <v>1</v>
      </c>
      <c r="E27" s="8"/>
      <c r="F27" s="8"/>
      <c r="G27" s="8"/>
      <c r="H27" s="8">
        <f>RANK(C27,($C$21,$C$24,$C$27,$C$30,$C$33,$C$36,$C$39),0)</f>
        <v>1</v>
      </c>
      <c r="I27" s="8"/>
    </row>
    <row r="28" spans="1:9">
      <c r="A28" s="6" t="s">
        <v>10</v>
      </c>
      <c r="B28" s="6" t="s">
        <v>12</v>
      </c>
      <c r="C28" s="7">
        <v>-61119886000</v>
      </c>
      <c r="D28" s="8"/>
      <c r="E28" s="8">
        <f>RANK(C28,($C$4,$C7,$C$10,$C$13,$C$16,$C$19,$C$22,$C$25,$C$28,$C$31,$C$34,$C$37,$C$40,$C$43),0)</f>
        <v>13</v>
      </c>
      <c r="F28" s="8"/>
      <c r="G28" s="8"/>
      <c r="H28" s="8"/>
      <c r="I28" s="8">
        <f>RANK(C28,($C$22,$C$25,$C$28,$C$31,$C$34,$C$37,$C$40),0)</f>
        <v>6</v>
      </c>
    </row>
    <row r="29" spans="1:9">
      <c r="A29" s="6" t="s">
        <v>24</v>
      </c>
      <c r="B29" s="6"/>
      <c r="C29" s="7"/>
      <c r="D29" s="8"/>
      <c r="E29" s="8"/>
      <c r="F29" s="8"/>
      <c r="G29" s="8"/>
      <c r="H29" s="8"/>
      <c r="I29" s="8"/>
    </row>
    <row r="30" spans="1:9">
      <c r="A30" s="6" t="s">
        <v>10</v>
      </c>
      <c r="B30" s="6" t="s">
        <v>11</v>
      </c>
      <c r="C30" s="7">
        <v>1878337.2</v>
      </c>
      <c r="D30" s="8">
        <f>RANK(C30,($C$3,$C6,$C$9,$C$12,$C$15,$C$18,$C$21,$C$24,$C$27,$C$30,$C$33,$C$36,$C$39,$C$42),0)</f>
        <v>12</v>
      </c>
      <c r="E30" s="8"/>
      <c r="F30" s="8"/>
      <c r="G30" s="8"/>
      <c r="H30" s="8">
        <f>RANK(C30,($C$21,$C$24,$C$27,$C$30,$C$33,$C$36,$C$39),0)</f>
        <v>6</v>
      </c>
      <c r="I30" s="8"/>
    </row>
    <row r="31" spans="1:9">
      <c r="A31" s="6" t="s">
        <v>10</v>
      </c>
      <c r="B31" s="6" t="s">
        <v>12</v>
      </c>
      <c r="C31" s="7">
        <v>15146.575999999999</v>
      </c>
      <c r="D31" s="8"/>
      <c r="E31" s="8">
        <f>RANK(C31,($C$4,$C7,$C$10,$C$13,$C$16,$C$19,$C$22,$C$25,$C$28,$C$31,$C$34,$C$37,$C$40,$C$43),0)</f>
        <v>9</v>
      </c>
      <c r="F31" s="8"/>
      <c r="G31" s="8"/>
      <c r="H31" s="8"/>
      <c r="I31" s="8">
        <f>RANK(C31,($C$22,$C$25,$C$28,$C$31,$C$34,$C$37,$C$40),0)</f>
        <v>4</v>
      </c>
    </row>
    <row r="32" spans="1:9">
      <c r="A32" s="6" t="s">
        <v>25</v>
      </c>
      <c r="B32" s="6"/>
      <c r="C32" s="7"/>
      <c r="D32" s="8"/>
      <c r="E32" s="8"/>
      <c r="F32" s="8"/>
      <c r="G32" s="8"/>
      <c r="H32" s="8"/>
      <c r="I32" s="8"/>
    </row>
    <row r="33" spans="1:9">
      <c r="A33" s="6" t="s">
        <v>10</v>
      </c>
      <c r="B33" s="6" t="s">
        <v>11</v>
      </c>
      <c r="C33" s="7">
        <v>32236641</v>
      </c>
      <c r="D33" s="8">
        <f>RANK(C33,($C$3,$C6,$C$9,$C$12,$C$15,$C$18,$C$21,$C$24,$C$27,$C$30,$C$33,$C$36,$C$39,$C$42),0)</f>
        <v>7</v>
      </c>
      <c r="E33" s="8"/>
      <c r="F33" s="8"/>
      <c r="G33" s="8"/>
      <c r="H33" s="8">
        <f>RANK(C33,($C$21,$C$24,$C$27,$C$30,$C$33,$C$36,$C$39),0)</f>
        <v>4</v>
      </c>
      <c r="I33" s="8"/>
    </row>
    <row r="34" spans="1:9">
      <c r="A34" s="6" t="s">
        <v>10</v>
      </c>
      <c r="B34" s="6" t="s">
        <v>12</v>
      </c>
      <c r="C34" s="7">
        <v>2378197</v>
      </c>
      <c r="D34" s="8"/>
      <c r="E34" s="8">
        <f>RANK(C34,($C$4,$C7,$C$10,$C$13,$C$16,$C$19,$C$22,$C$25,$C$28,$C$31,$C$34,$C$37,$C$40,$C$43),0)</f>
        <v>5</v>
      </c>
      <c r="F34" s="8"/>
      <c r="G34" s="8"/>
      <c r="H34" s="8"/>
      <c r="I34" s="8">
        <f>RANK(C34,($C$22,$C$25,$C$28,$C$31,$C$34,$C$37,$C$40),0)</f>
        <v>3</v>
      </c>
    </row>
    <row r="35" spans="1:9">
      <c r="A35" s="6" t="s">
        <v>26</v>
      </c>
      <c r="B35" s="6"/>
      <c r="C35" s="7"/>
      <c r="D35" s="8"/>
      <c r="E35" s="8"/>
      <c r="F35" s="8"/>
      <c r="G35" s="8"/>
      <c r="H35" s="8"/>
      <c r="I35" s="8"/>
    </row>
    <row r="36" spans="1:9">
      <c r="A36" s="6" t="s">
        <v>10</v>
      </c>
      <c r="B36" s="6" t="s">
        <v>11</v>
      </c>
      <c r="C36" s="7">
        <v>57834441</v>
      </c>
      <c r="D36" s="8">
        <f>RANK(C36,($C$3,$C6,$C$9,$C$12,$C$15,$C$18,$C$21,$C$24,$C$27,$C$30,$C$33,$C$36,$C$39,$C$42),0)</f>
        <v>4</v>
      </c>
      <c r="E36" s="8"/>
      <c r="F36" s="8"/>
      <c r="G36" s="8"/>
      <c r="H36" s="8">
        <f>RANK(C36,($C$21,$C$24,$C$27,$C$30,$C$33,$C$36,$C$39),0)</f>
        <v>2</v>
      </c>
      <c r="I36" s="8"/>
    </row>
    <row r="37" spans="1:9">
      <c r="A37" s="6" t="s">
        <v>10</v>
      </c>
      <c r="B37" s="6" t="s">
        <v>12</v>
      </c>
      <c r="C37" s="7">
        <v>4265750</v>
      </c>
      <c r="D37" s="8"/>
      <c r="E37" s="8">
        <f>RANK(C37,($C$4,$C7,$C$10,$C$13,$C$16,$C$19,$C$22,$C$25,$C$28,$C$31,$C$34,$C$37,$C$40,$C$43),0)</f>
        <v>2</v>
      </c>
      <c r="F37" s="8"/>
      <c r="G37" s="8"/>
      <c r="H37" s="8"/>
      <c r="I37" s="8">
        <f>RANK(C37,($C$22,$C$25,$C$28,$C$31,$C$34,$C$37,$C$40),0)</f>
        <v>2</v>
      </c>
    </row>
    <row r="38" spans="1:9">
      <c r="A38" s="6" t="s">
        <v>27</v>
      </c>
      <c r="B38" s="6"/>
      <c r="C38" s="7"/>
      <c r="D38" s="8"/>
      <c r="E38" s="8"/>
      <c r="F38" s="8"/>
      <c r="G38" s="8"/>
      <c r="H38" s="8"/>
      <c r="I38" s="8"/>
    </row>
    <row r="39" spans="1:9">
      <c r="A39" s="6" t="s">
        <v>10</v>
      </c>
      <c r="B39" s="6" t="s">
        <v>11</v>
      </c>
      <c r="C39" s="7">
        <v>56135109</v>
      </c>
      <c r="D39" s="8">
        <f>RANK(C39,($C$3,$C6,$C$9,$C$12,$C$15,$C$18,$C$21,$C$24,$C$27,$C$30,$C$33,$C$36,$C$39,$C$42),0)</f>
        <v>5</v>
      </c>
      <c r="E39" s="8"/>
      <c r="F39" s="8"/>
      <c r="G39" s="8"/>
      <c r="H39" s="8">
        <f>RANK(C39,($C$21,$C$24,$C$27,$C$30,$C$33,$C$36,$C$39),0)</f>
        <v>3</v>
      </c>
      <c r="I39" s="8"/>
    </row>
    <row r="40" spans="1:9">
      <c r="A40" s="6" t="s">
        <v>10</v>
      </c>
      <c r="B40" s="6" t="s">
        <v>12</v>
      </c>
      <c r="C40" s="7">
        <v>4590571.5999999996</v>
      </c>
      <c r="D40" s="8"/>
      <c r="E40" s="8">
        <f>RANK(C40,($C$4,$C7,$C$10,$C$13,$C$16,$C$19,$C$22,$C$25,$C$28,$C$31,$C$34,$C$37,$C$40,$C$43),0)</f>
        <v>1</v>
      </c>
      <c r="F40" s="8"/>
      <c r="G40" s="8"/>
      <c r="H40" s="8"/>
      <c r="I40" s="8">
        <f>RANK(C40,($C$22,$C$25,$C$28,$C$31,$C$34,$C$37,$C$40),0)</f>
        <v>1</v>
      </c>
    </row>
    <row r="41" spans="1:9">
      <c r="A41" s="3" t="s">
        <v>28</v>
      </c>
      <c r="B41" s="3"/>
      <c r="C41" s="4"/>
      <c r="D41" s="5"/>
      <c r="E41" s="5"/>
      <c r="F41" s="5"/>
      <c r="G41" s="5"/>
      <c r="H41" s="5"/>
      <c r="I41" s="5"/>
    </row>
    <row r="42" spans="1:9">
      <c r="A42" s="3" t="s">
        <v>10</v>
      </c>
      <c r="B42" s="3" t="s">
        <v>11</v>
      </c>
      <c r="C42" s="4">
        <v>24003.965</v>
      </c>
      <c r="D42" s="5">
        <f>RANK(C42,($C$3,$C6,$C$9,$C$12,$C$15,$C$18,$C$21,$C$24,$C$27,$C$30,$C$33,$C$36,$C$39,$C$42),0)</f>
        <v>14</v>
      </c>
      <c r="E42" s="5"/>
      <c r="F42" s="5"/>
      <c r="G42" s="5"/>
      <c r="H42" s="5"/>
      <c r="I42" s="5"/>
    </row>
    <row r="43" spans="1:9">
      <c r="A43" s="3" t="s">
        <v>10</v>
      </c>
      <c r="B43" s="3" t="s">
        <v>12</v>
      </c>
      <c r="C43" s="4">
        <v>7446.5607</v>
      </c>
      <c r="D43" s="5"/>
      <c r="E43" s="5">
        <f>RANK(C43,($C$4,$C7,$C$10,$C$13,$C$16,$C$19,$C$22,$C$25,$C$28,$C$31,$C$34,$C$37,$C$40,$C$43),0)</f>
        <v>11</v>
      </c>
      <c r="F43" s="5"/>
      <c r="G43" s="5"/>
      <c r="H43" s="5"/>
      <c r="I4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workbookViewId="0">
      <selection activeCell="K8" sqref="K8"/>
    </sheetView>
  </sheetViews>
  <sheetFormatPr defaultColWidth="11" defaultRowHeight="15.95"/>
  <cols>
    <col min="1" max="1" width="45.375" style="2" bestFit="1" customWidth="1"/>
    <col min="2" max="2" width="10.875" style="2"/>
    <col min="3" max="3" width="27.875" style="1" bestFit="1" customWidth="1"/>
    <col min="4" max="4" width="19.125" bestFit="1" customWidth="1"/>
    <col min="5" max="5" width="20" bestFit="1" customWidth="1"/>
    <col min="6" max="6" width="15.125" bestFit="1" customWidth="1"/>
    <col min="7" max="7" width="16" bestFit="1" customWidth="1"/>
    <col min="8" max="8" width="14.875" bestFit="1" customWidth="1"/>
    <col min="9" max="9" width="15.625" bestFit="1" customWidth="1"/>
  </cols>
  <sheetData>
    <row r="1" spans="1:12">
      <c r="A1" s="14" t="s">
        <v>0</v>
      </c>
      <c r="B1" s="14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12" s="2" customFormat="1">
      <c r="A2" s="9" t="s">
        <v>29</v>
      </c>
      <c r="B2" s="9"/>
      <c r="C2" s="10"/>
      <c r="D2" s="9"/>
      <c r="E2" s="9"/>
      <c r="F2" s="9"/>
      <c r="G2" s="9"/>
      <c r="H2" s="9"/>
      <c r="I2" s="9"/>
    </row>
    <row r="3" spans="1:12">
      <c r="A3" s="9" t="s">
        <v>10</v>
      </c>
      <c r="B3" s="9" t="s">
        <v>11</v>
      </c>
      <c r="C3" s="11">
        <v>63379687</v>
      </c>
      <c r="D3" s="12">
        <f>RANK(C3,($C$3,$C6,$C$9,$C$12,$C$15,$C$18,$C$21,$C$24,$C$27,$C$30,$C$33,$C$36,$C$39,$C$42),0)</f>
        <v>3</v>
      </c>
      <c r="E3" s="12"/>
      <c r="F3" s="12">
        <f>RANK(C3,($C$3,$C6,$C$9,$C$12,$C$15,$C$18),0)</f>
        <v>2</v>
      </c>
      <c r="G3" s="12"/>
      <c r="H3" s="12"/>
      <c r="I3" s="12"/>
    </row>
    <row r="4" spans="1:12">
      <c r="A4" s="9" t="s">
        <v>10</v>
      </c>
      <c r="B4" s="9" t="s">
        <v>12</v>
      </c>
      <c r="C4" s="11">
        <v>1112371.2</v>
      </c>
      <c r="D4" s="12"/>
      <c r="E4" s="12">
        <f>RANK(C4,($C$4,$C7,$C$10,$C$13,$C$16,$C$19,$C$22,$C$25,$C$28,$C$31,$C$34,$C$37,$C$40,$C$43),0)</f>
        <v>6</v>
      </c>
      <c r="F4" s="12"/>
      <c r="G4" s="12">
        <f>RANK(C4,($C$4,$C7,$C$10,$C$13,$C$16,$C$19,$C$22),0)</f>
        <v>3</v>
      </c>
      <c r="H4" s="12"/>
      <c r="I4" s="12"/>
      <c r="K4" s="12"/>
      <c r="L4" t="s">
        <v>13</v>
      </c>
    </row>
    <row r="5" spans="1:12">
      <c r="A5" s="9" t="s">
        <v>30</v>
      </c>
      <c r="B5" s="9"/>
      <c r="C5" s="11"/>
      <c r="D5" s="12"/>
      <c r="E5" s="12"/>
      <c r="F5" s="12"/>
      <c r="G5" s="12"/>
      <c r="H5" s="12"/>
      <c r="I5" s="12"/>
      <c r="K5" s="8"/>
      <c r="L5" t="s">
        <v>15</v>
      </c>
    </row>
    <row r="6" spans="1:12">
      <c r="A6" s="9" t="s">
        <v>10</v>
      </c>
      <c r="B6" s="9" t="s">
        <v>11</v>
      </c>
      <c r="C6" s="11">
        <v>70648362</v>
      </c>
      <c r="D6" s="12">
        <f>RANK(C6,($C$3,$C6,$C$9,$C$12,$C$15,$C$18,$C$21,$C$24,$C$27,$C$30,$C$33,$C$36,$C$39,$C$42),0)</f>
        <v>2</v>
      </c>
      <c r="E6" s="12"/>
      <c r="F6" s="12">
        <f>RANK(C6,($C$3,$C6,$C$9,$C$12,$C$15,$C$18),0)</f>
        <v>1</v>
      </c>
      <c r="G6" s="12"/>
      <c r="H6" s="12"/>
      <c r="I6" s="12"/>
      <c r="K6" s="5"/>
      <c r="L6" t="s">
        <v>16</v>
      </c>
    </row>
    <row r="7" spans="1:12">
      <c r="A7" s="9" t="s">
        <v>10</v>
      </c>
      <c r="B7" s="9" t="s">
        <v>12</v>
      </c>
      <c r="C7" s="11">
        <v>2626887.2000000002</v>
      </c>
      <c r="D7" s="12"/>
      <c r="E7" s="12">
        <f>RANK(C7,($C$4,$C7,$C$10,$C$13,$C$16,$C$19,$C$22,$C$25,$C$28,$C$31,$C$34,$C$37,$C$40,$C$43),0)</f>
        <v>3</v>
      </c>
      <c r="F7" s="12"/>
      <c r="G7" s="12">
        <f>RANK(C7,($C$4,$C7,$C$10,$C$13,$C$16,$C$19,$C$22),0)</f>
        <v>1</v>
      </c>
      <c r="H7" s="12"/>
      <c r="I7" s="12"/>
    </row>
    <row r="8" spans="1:12">
      <c r="A8" s="9" t="s">
        <v>31</v>
      </c>
      <c r="B8" s="9"/>
      <c r="C8" s="11"/>
      <c r="D8" s="12"/>
      <c r="E8" s="12"/>
      <c r="F8" s="12"/>
      <c r="G8" s="12"/>
      <c r="H8" s="12"/>
      <c r="I8" s="12"/>
    </row>
    <row r="9" spans="1:12">
      <c r="A9" s="9" t="s">
        <v>10</v>
      </c>
      <c r="B9" s="9" t="s">
        <v>11</v>
      </c>
      <c r="C9" s="11">
        <v>7867884.2999999998</v>
      </c>
      <c r="D9" s="12">
        <f>RANK(C9,($C$3,$C6,$C$9,$C$12,$C$15,$C$18,$C$21,$C$24,$C$27,$C$30,$C$33,$C$36,$C$39,$C$42),0)</f>
        <v>11</v>
      </c>
      <c r="E9" s="12"/>
      <c r="F9" s="12">
        <f>RANK(C9,($C$3,$C6,$C$9,$C$12,$C$15,$C$18),0)</f>
        <v>6</v>
      </c>
      <c r="G9" s="12"/>
      <c r="H9" s="12"/>
      <c r="I9" s="12"/>
    </row>
    <row r="10" spans="1:12">
      <c r="A10" s="9" t="s">
        <v>10</v>
      </c>
      <c r="B10" s="9" t="s">
        <v>12</v>
      </c>
      <c r="C10" s="11">
        <v>9944.2356999999993</v>
      </c>
      <c r="D10" s="12"/>
      <c r="E10" s="12">
        <f>RANK(C10,($C$4,$C7,$C$10,$C$13,$C$16,$C$19,$C$22,$C$25,$C$28,$C$31,$C$34,$C$37,$C$40,$C$43),0)</f>
        <v>10</v>
      </c>
      <c r="F10" s="12"/>
      <c r="G10" s="12">
        <f>RANK(C10,($C$4,$C7,$C$10,$C$13,$C$16,$C$19,$C$22),0)</f>
        <v>5</v>
      </c>
      <c r="H10" s="12"/>
      <c r="I10" s="12"/>
    </row>
    <row r="11" spans="1:12">
      <c r="A11" s="9" t="s">
        <v>32</v>
      </c>
      <c r="B11" s="9"/>
      <c r="C11" s="11"/>
      <c r="D11" s="12"/>
      <c r="E11" s="12"/>
      <c r="F11" s="12"/>
      <c r="G11" s="12"/>
      <c r="H11" s="12"/>
      <c r="I11" s="12"/>
    </row>
    <row r="12" spans="1:12">
      <c r="A12" s="9" t="s">
        <v>10</v>
      </c>
      <c r="B12" s="9" t="s">
        <v>11</v>
      </c>
      <c r="C12" s="11">
        <v>29403803</v>
      </c>
      <c r="D12" s="12">
        <f>RANK(C12,($C$3,$C6,$C$9,$C$12,$C$15,$C$18,$C$21,$C$24,$C$27,$C$30,$C$33,$C$36,$C$39,$C$42),0)</f>
        <v>8</v>
      </c>
      <c r="E12" s="12"/>
      <c r="F12" s="12">
        <f>RANK(C12,($C$3,$C6,$C$9,$C$12,$C$15,$C$18),0)</f>
        <v>4</v>
      </c>
      <c r="G12" s="12"/>
      <c r="H12" s="12"/>
      <c r="I12" s="12"/>
    </row>
    <row r="13" spans="1:12">
      <c r="A13" s="9" t="s">
        <v>10</v>
      </c>
      <c r="B13" s="9" t="s">
        <v>12</v>
      </c>
      <c r="C13" s="11">
        <v>-76532836000000</v>
      </c>
      <c r="D13" s="12"/>
      <c r="E13" s="12">
        <f>RANK(C13,($C$4,$C7,$C$10,$C$13,$C$16,$C$19,$C$22,$C$25,$C$28,$C$31,$C$34,$C$37,$C$40,$C$43),0)</f>
        <v>13</v>
      </c>
      <c r="F13" s="12"/>
      <c r="G13" s="12">
        <f>RANK(C13,($C$4,$C7,$C$10,$C$13,$C$16,$C$19,$C$22),0)</f>
        <v>6</v>
      </c>
      <c r="H13" s="12"/>
      <c r="I13" s="12"/>
    </row>
    <row r="14" spans="1:12">
      <c r="A14" s="9" t="s">
        <v>33</v>
      </c>
      <c r="B14" s="9"/>
      <c r="C14" s="11"/>
      <c r="D14" s="12"/>
      <c r="E14" s="12"/>
      <c r="F14" s="12"/>
      <c r="G14" s="12"/>
      <c r="H14" s="12"/>
      <c r="I14" s="12"/>
    </row>
    <row r="15" spans="1:12">
      <c r="A15" s="9" t="s">
        <v>10</v>
      </c>
      <c r="B15" s="9" t="s">
        <v>11</v>
      </c>
      <c r="C15" s="11">
        <v>35704560</v>
      </c>
      <c r="D15" s="12">
        <f>RANK(C15,($C$3,$C6,$C$9,$C$12,$C$15,$C$18,$C$21,$C$24,$C$27,$C$30,$C$33,$C$36,$C$39,$C$42),0)</f>
        <v>6</v>
      </c>
      <c r="E15" s="12"/>
      <c r="F15" s="12">
        <f>RANK(C15,($C$3,$C6,$C$9,$C$12,$C$15,$C$18),0)</f>
        <v>3</v>
      </c>
      <c r="G15" s="12"/>
      <c r="H15" s="12"/>
      <c r="I15" s="12"/>
    </row>
    <row r="16" spans="1:12">
      <c r="A16" s="9" t="s">
        <v>10</v>
      </c>
      <c r="B16" s="9" t="s">
        <v>12</v>
      </c>
      <c r="C16" s="11">
        <v>2338819.2999999998</v>
      </c>
      <c r="D16" s="12"/>
      <c r="E16" s="12">
        <f>RANK(C16,($C$4,$C7,$C$10,$C$13,$C$16,$C$19,$C$22,$C$25,$C$28,$C$31,$C$34,$C$37,$C$40,$C$43),0)</f>
        <v>5</v>
      </c>
      <c r="F16" s="12"/>
      <c r="G16" s="12">
        <f>RANK(C16,($C$4,$C7,$C$10,$C$13,$C$16,$C$19,$C$22),0)</f>
        <v>2</v>
      </c>
      <c r="H16" s="12"/>
      <c r="I16" s="12"/>
    </row>
    <row r="17" spans="1:9">
      <c r="A17" s="9" t="s">
        <v>34</v>
      </c>
      <c r="B17" s="9"/>
      <c r="C17" s="11"/>
      <c r="D17" s="12"/>
      <c r="E17" s="12"/>
      <c r="F17" s="12"/>
      <c r="G17" s="12"/>
      <c r="H17" s="12"/>
      <c r="I17" s="12"/>
    </row>
    <row r="18" spans="1:9">
      <c r="A18" s="9" t="s">
        <v>10</v>
      </c>
      <c r="B18" s="9" t="s">
        <v>11</v>
      </c>
      <c r="C18" s="11">
        <v>15981461</v>
      </c>
      <c r="D18" s="12">
        <f>RANK(C18,($C$3,$C6,$C$9,$C$12,$C$15,$C$18,$C$21,$C$24,$C$27,$C$30,$C$33,$C$36,$C$39,$C$42),0)</f>
        <v>9</v>
      </c>
      <c r="E18" s="12"/>
      <c r="F18" s="12">
        <f>RANK(C18,($C$3,$C6,$C$9,$C$12,$C$15,$C$18),0)</f>
        <v>5</v>
      </c>
      <c r="G18" s="12"/>
      <c r="H18" s="12"/>
      <c r="I18" s="12"/>
    </row>
    <row r="19" spans="1:9">
      <c r="A19" s="9" t="s">
        <v>10</v>
      </c>
      <c r="B19" s="9" t="s">
        <v>12</v>
      </c>
      <c r="C19" s="11">
        <v>610717.86</v>
      </c>
      <c r="D19" s="12"/>
      <c r="E19" s="12">
        <f>RANK(C19,($C$4,$C7,$C$10,$C$13,$C$16,$C$19,$C$22,$C$25,$C$28,$C$31,$C$34,$C$37,$C$40,$C$43),0)</f>
        <v>7</v>
      </c>
      <c r="F19" s="12"/>
      <c r="G19" s="12">
        <f>RANK(C19,($C$4,$C7,$C$10,$C$13,$C$16,$C$19,$C$22),0)</f>
        <v>4</v>
      </c>
      <c r="H19" s="12"/>
      <c r="I19" s="12"/>
    </row>
    <row r="20" spans="1:9">
      <c r="A20" s="6" t="s">
        <v>35</v>
      </c>
      <c r="B20" s="6"/>
      <c r="C20" s="7"/>
      <c r="D20" s="8"/>
      <c r="E20" s="8"/>
      <c r="F20" s="8"/>
      <c r="G20" s="8"/>
      <c r="H20" s="8"/>
      <c r="I20" s="8"/>
    </row>
    <row r="21" spans="1:9">
      <c r="A21" s="6" t="s">
        <v>10</v>
      </c>
      <c r="B21" s="6" t="s">
        <v>11</v>
      </c>
      <c r="C21" s="7">
        <v>851274.49</v>
      </c>
      <c r="D21" s="8">
        <f>RANK(C21,($C$3,$C6,$C$9,$C$12,$C$15,$C$18,$C$21,$C$24,$C$27,$C$30,$C$33,$C$36,$C$39,$C$42),0)</f>
        <v>13</v>
      </c>
      <c r="E21" s="8"/>
      <c r="F21" s="8"/>
      <c r="G21" s="8"/>
      <c r="H21" s="8">
        <f>RANK(C21,($C$21,$C$24,$C$27,$C$30,$C$33,$C$36,$C$39),0)</f>
        <v>7</v>
      </c>
      <c r="I21" s="8"/>
    </row>
    <row r="22" spans="1:9">
      <c r="A22" s="6" t="s">
        <v>10</v>
      </c>
      <c r="B22" s="6" t="s">
        <v>12</v>
      </c>
      <c r="C22" s="7">
        <v>-3.6515987E+22</v>
      </c>
      <c r="D22" s="8"/>
      <c r="E22" s="8">
        <f>RANK(C22,($C$4,$C7,$C$10,$C$13,$C$16,$C$19,$C$22,$C$25,$C$28,$C$31,$C$34,$C$37,$C$40,$C$43),0)</f>
        <v>14</v>
      </c>
      <c r="F22" s="8"/>
      <c r="G22" s="8"/>
      <c r="H22" s="8"/>
      <c r="I22" s="8">
        <f>RANK(C22,($C$22,$C$25,$C$28,$C$31,$C$34,$C$37,$C$40),0)</f>
        <v>7</v>
      </c>
    </row>
    <row r="23" spans="1:9">
      <c r="A23" s="6" t="s">
        <v>36</v>
      </c>
      <c r="B23" s="6"/>
      <c r="C23" s="7"/>
      <c r="D23" s="8"/>
      <c r="E23" s="8"/>
      <c r="F23" s="8"/>
      <c r="G23" s="8"/>
      <c r="H23" s="8"/>
      <c r="I23" s="8"/>
    </row>
    <row r="24" spans="1:9">
      <c r="A24" s="6" t="s">
        <v>10</v>
      </c>
      <c r="B24" s="6" t="s">
        <v>11</v>
      </c>
      <c r="C24" s="7">
        <v>9348351.5999999996</v>
      </c>
      <c r="D24" s="8">
        <f>RANK(C24,($C$3,$C6,$C$9,$C$12,$C$15,$C$18,$C$21,$C$24,$C$27,$C$30,$C$33,$C$36,$C$39,$C$42),0)</f>
        <v>10</v>
      </c>
      <c r="E24" s="8"/>
      <c r="F24" s="8"/>
      <c r="G24" s="8"/>
      <c r="H24" s="8">
        <f>RANK(C24,($C$21,$C$24,$C$27,$C$30,$C$33,$C$36,$C$39),0)</f>
        <v>5</v>
      </c>
      <c r="I24" s="8"/>
    </row>
    <row r="25" spans="1:9">
      <c r="A25" s="6" t="s">
        <v>10</v>
      </c>
      <c r="B25" s="6" t="s">
        <v>12</v>
      </c>
      <c r="C25" s="7">
        <v>4082.8377</v>
      </c>
      <c r="D25" s="8"/>
      <c r="E25" s="8">
        <f>RANK(C25,($C$4,$C7,$C$10,$C$13,$C$16,$C$19,$C$22,$C$25,$C$28,$C$31,$C$34,$C$37,$C$40,$C$43),0)</f>
        <v>11</v>
      </c>
      <c r="F25" s="8"/>
      <c r="G25" s="8"/>
      <c r="H25" s="8"/>
      <c r="I25" s="8">
        <f>RANK(C25,($C$22,$C$25,$C$28,$C$31,$C$34,$C$37,$C$40),0)</f>
        <v>5</v>
      </c>
    </row>
    <row r="26" spans="1:9">
      <c r="A26" s="6" t="s">
        <v>37</v>
      </c>
      <c r="B26" s="6"/>
      <c r="C26" s="7"/>
      <c r="D26" s="8"/>
      <c r="E26" s="8"/>
      <c r="F26" s="8"/>
      <c r="G26" s="8"/>
      <c r="H26" s="8"/>
      <c r="I26" s="8"/>
    </row>
    <row r="27" spans="1:9">
      <c r="A27" s="6" t="s">
        <v>10</v>
      </c>
      <c r="B27" s="6" t="s">
        <v>11</v>
      </c>
      <c r="C27" s="7">
        <v>6445312100000</v>
      </c>
      <c r="D27" s="8">
        <f>RANK(C27,($C$3,$C6,$C$9,$C$12,$C$15,$C$18,$C$21,$C$24,$C$27,$C$30,$C$33,$C$36,$C$39,$C$42),0)</f>
        <v>1</v>
      </c>
      <c r="E27" s="8"/>
      <c r="F27" s="8"/>
      <c r="G27" s="8"/>
      <c r="H27" s="8">
        <f>RANK(C27,($C$21,$C$24,$C$27,$C$30,$C$33,$C$36,$C$39),0)</f>
        <v>1</v>
      </c>
      <c r="I27" s="8"/>
    </row>
    <row r="28" spans="1:9">
      <c r="A28" s="6" t="s">
        <v>10</v>
      </c>
      <c r="B28" s="6" t="s">
        <v>12</v>
      </c>
      <c r="C28" s="7">
        <v>-61119867000</v>
      </c>
      <c r="D28" s="8"/>
      <c r="E28" s="8">
        <f>RANK(C28,($C$4,$C7,$C$10,$C$13,$C$16,$C$19,$C$22,$C$25,$C$28,$C$31,$C$34,$C$37,$C$40,$C$43),0)</f>
        <v>12</v>
      </c>
      <c r="F28" s="8"/>
      <c r="G28" s="8"/>
      <c r="H28" s="8"/>
      <c r="I28" s="8">
        <f>RANK(C28,($C$22,$C$25,$C$28,$C$31,$C$34,$C$37,$C$40),0)</f>
        <v>6</v>
      </c>
    </row>
    <row r="29" spans="1:9">
      <c r="A29" s="6" t="s">
        <v>38</v>
      </c>
      <c r="B29" s="6"/>
      <c r="C29" s="7"/>
      <c r="D29" s="8"/>
      <c r="E29" s="8"/>
      <c r="F29" s="8"/>
      <c r="G29" s="8"/>
      <c r="H29" s="8"/>
      <c r="I29" s="8"/>
    </row>
    <row r="30" spans="1:9">
      <c r="A30" s="6" t="s">
        <v>10</v>
      </c>
      <c r="B30" s="6" t="s">
        <v>11</v>
      </c>
      <c r="C30" s="7">
        <v>1892752.7</v>
      </c>
      <c r="D30" s="8">
        <f>RANK(C30,($C$3,$C6,$C$9,$C$12,$C$15,$C$18,$C$21,$C$24,$C$27,$C$30,$C$33,$C$36,$C$39,$C$42),0)</f>
        <v>12</v>
      </c>
      <c r="E30" s="8"/>
      <c r="F30" s="8"/>
      <c r="G30" s="8"/>
      <c r="H30" s="8">
        <f>RANK(C30,($C$21,$C$24,$C$27,$C$30,$C$33,$C$36,$C$39),0)</f>
        <v>6</v>
      </c>
      <c r="I30" s="8"/>
    </row>
    <row r="31" spans="1:9">
      <c r="A31" s="6" t="s">
        <v>10</v>
      </c>
      <c r="B31" s="6" t="s">
        <v>12</v>
      </c>
      <c r="C31" s="7">
        <v>15279.286</v>
      </c>
      <c r="D31" s="8"/>
      <c r="E31" s="8">
        <f>RANK(C31,($C$4,$C7,$C$10,$C$13,$C$16,$C$19,$C$22,$C$25,$C$28,$C$31,$C$34,$C$37,$C$40,$C$43),0)</f>
        <v>8</v>
      </c>
      <c r="F31" s="8"/>
      <c r="G31" s="8"/>
      <c r="H31" s="8"/>
      <c r="I31" s="8">
        <f>RANK(C31,($C$22,$C$25,$C$28,$C$31,$C$34,$C$37,$C$40),0)</f>
        <v>4</v>
      </c>
    </row>
    <row r="32" spans="1:9">
      <c r="A32" s="6" t="s">
        <v>39</v>
      </c>
      <c r="B32" s="6"/>
      <c r="C32" s="7"/>
      <c r="D32" s="8"/>
      <c r="E32" s="8"/>
      <c r="F32" s="8"/>
      <c r="G32" s="8"/>
      <c r="H32" s="8"/>
      <c r="I32" s="8"/>
    </row>
    <row r="33" spans="1:9">
      <c r="A33" s="6" t="s">
        <v>10</v>
      </c>
      <c r="B33" s="6" t="s">
        <v>11</v>
      </c>
      <c r="C33" s="7">
        <v>32498835</v>
      </c>
      <c r="D33" s="8">
        <f>RANK(C33,($C$3,$C6,$C$9,$C$12,$C$15,$C$18,$C$21,$C$24,$C$27,$C$30,$C$33,$C$36,$C$39,$C$42),0)</f>
        <v>7</v>
      </c>
      <c r="E33" s="8"/>
      <c r="F33" s="8"/>
      <c r="G33" s="8"/>
      <c r="H33" s="8">
        <f>RANK(C33,($C$21,$C$24,$C$27,$C$30,$C$33,$C$36,$C$39),0)</f>
        <v>4</v>
      </c>
      <c r="I33" s="8"/>
    </row>
    <row r="34" spans="1:9">
      <c r="A34" s="6" t="s">
        <v>10</v>
      </c>
      <c r="B34" s="6" t="s">
        <v>12</v>
      </c>
      <c r="C34" s="7">
        <v>2401465.7999999998</v>
      </c>
      <c r="D34" s="8"/>
      <c r="E34" s="8">
        <f>RANK(C34,($C$4,$C7,$C$10,$C$13,$C$16,$C$19,$C$22,$C$25,$C$28,$C$31,$C$34,$C$37,$C$40,$C$43),0)</f>
        <v>4</v>
      </c>
      <c r="F34" s="8"/>
      <c r="G34" s="8"/>
      <c r="H34" s="8"/>
      <c r="I34" s="8">
        <f>RANK(C34,($C$22,$C$25,$C$28,$C$31,$C$34,$C$37,$C$40),0)</f>
        <v>3</v>
      </c>
    </row>
    <row r="35" spans="1:9">
      <c r="A35" s="6" t="s">
        <v>40</v>
      </c>
      <c r="B35" s="6"/>
      <c r="C35" s="7"/>
      <c r="D35" s="8"/>
      <c r="E35" s="8"/>
      <c r="F35" s="8"/>
      <c r="G35" s="8"/>
      <c r="H35" s="8"/>
      <c r="I35" s="8"/>
    </row>
    <row r="36" spans="1:9">
      <c r="A36" s="6" t="s">
        <v>10</v>
      </c>
      <c r="B36" s="6" t="s">
        <v>11</v>
      </c>
      <c r="C36" s="7">
        <v>58340245</v>
      </c>
      <c r="D36" s="8">
        <f>RANK(C36,($C$3,$C6,$C$9,$C$12,$C$15,$C$18,$C$21,$C$24,$C$27,$C$30,$C$33,$C$36,$C$39,$C$42),0)</f>
        <v>4</v>
      </c>
      <c r="E36" s="8"/>
      <c r="F36" s="8"/>
      <c r="G36" s="8"/>
      <c r="H36" s="8">
        <f>RANK(C36,($C$21,$C$24,$C$27,$C$30,$C$33,$C$36,$C$39),0)</f>
        <v>2</v>
      </c>
      <c r="I36" s="8"/>
    </row>
    <row r="37" spans="1:9">
      <c r="A37" s="6" t="s">
        <v>10</v>
      </c>
      <c r="B37" s="6" t="s">
        <v>12</v>
      </c>
      <c r="C37" s="7">
        <v>4294137.9000000004</v>
      </c>
      <c r="D37" s="8"/>
      <c r="E37" s="8">
        <f>RANK(C37,($C$4,$C7,$C$10,$C$13,$C$16,$C$19,$C$22,$C$25,$C$28,$C$31,$C$34,$C$37,$C$40,$C$43),0)</f>
        <v>2</v>
      </c>
      <c r="F37" s="8"/>
      <c r="G37" s="8"/>
      <c r="H37" s="8"/>
      <c r="I37" s="8">
        <f>RANK(C37,($C$22,$C$25,$C$28,$C$31,$C$34,$C$37,$C$40),0)</f>
        <v>2</v>
      </c>
    </row>
    <row r="38" spans="1:9">
      <c r="A38" s="6" t="s">
        <v>41</v>
      </c>
      <c r="B38" s="6"/>
      <c r="C38" s="7"/>
      <c r="D38" s="8"/>
      <c r="E38" s="8"/>
      <c r="F38" s="8"/>
      <c r="G38" s="8"/>
      <c r="H38" s="8"/>
      <c r="I38" s="8"/>
    </row>
    <row r="39" spans="1:9">
      <c r="A39" s="6" t="s">
        <v>10</v>
      </c>
      <c r="B39" s="6" t="s">
        <v>11</v>
      </c>
      <c r="C39" s="7">
        <v>56837528</v>
      </c>
      <c r="D39" s="8">
        <f>RANK(C39,($C$3,$C6,$C$9,$C$12,$C$15,$C$18,$C$21,$C$24,$C$27,$C$30,$C$33,$C$36,$C$39,$C$42),0)</f>
        <v>5</v>
      </c>
      <c r="E39" s="8"/>
      <c r="F39" s="8"/>
      <c r="G39" s="8"/>
      <c r="H39" s="8">
        <f>RANK(C39,($C$21,$C$24,$C$27,$C$30,$C$33,$C$36,$C$39),0)</f>
        <v>3</v>
      </c>
      <c r="I39" s="8"/>
    </row>
    <row r="40" spans="1:9">
      <c r="A40" s="6" t="s">
        <v>10</v>
      </c>
      <c r="B40" s="6" t="s">
        <v>12</v>
      </c>
      <c r="C40" s="7">
        <v>4649769.3</v>
      </c>
      <c r="D40" s="8"/>
      <c r="E40" s="8">
        <f>RANK(C40,($C$4,$C7,$C$10,$C$13,$C$16,$C$19,$C$22,$C$25,$C$28,$C$31,$C$34,$C$37,$C$40,$C$43),0)</f>
        <v>1</v>
      </c>
      <c r="F40" s="8"/>
      <c r="G40" s="8"/>
      <c r="H40" s="8"/>
      <c r="I40" s="8">
        <f>RANK(C40,($C$22,$C$25,$C$28,$C$31,$C$34,$C$37,$C$40),0)</f>
        <v>1</v>
      </c>
    </row>
    <row r="41" spans="1:9">
      <c r="A41" s="3" t="s">
        <v>42</v>
      </c>
      <c r="B41" s="3"/>
      <c r="C41" s="4"/>
      <c r="D41" s="5"/>
      <c r="E41" s="5"/>
      <c r="F41" s="5"/>
      <c r="G41" s="5"/>
      <c r="H41" s="5"/>
      <c r="I41" s="5"/>
    </row>
    <row r="42" spans="1:9">
      <c r="A42" s="3" t="s">
        <v>10</v>
      </c>
      <c r="B42" s="3" t="s">
        <v>11</v>
      </c>
      <c r="C42" s="4">
        <v>609475.26</v>
      </c>
      <c r="D42" s="5">
        <f>RANK(C42,($C$3,$C6,$C$9,$C$12,$C$15,$C$18,$C$21,$C$24,$C$27,$C$30,$C$33,$C$36,$C$39,$C$42),0)</f>
        <v>14</v>
      </c>
      <c r="E42" s="5"/>
      <c r="F42" s="5"/>
      <c r="G42" s="5"/>
      <c r="H42" s="5"/>
      <c r="I42" s="5"/>
    </row>
    <row r="43" spans="1:9">
      <c r="A43" s="3" t="s">
        <v>10</v>
      </c>
      <c r="B43" s="3" t="s">
        <v>12</v>
      </c>
      <c r="C43" s="4">
        <v>12710.047</v>
      </c>
      <c r="D43" s="5"/>
      <c r="E43" s="5">
        <f>RANK(C43,($C$4,$C7,$C$10,$C$13,$C$16,$C$19,$C$22,$C$25,$C$28,$C$31,$C$34,$C$37,$C$40,$C$43),0)</f>
        <v>9</v>
      </c>
      <c r="F43" s="5"/>
      <c r="G43" s="5"/>
      <c r="H43" s="5"/>
      <c r="I4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e757f452f56656886653bd13df00f9ed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513f6f77878753cf61bc1afcb16b0ea1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3608B-A5E8-4C4B-A664-CB716272D6E7}"/>
</file>

<file path=customXml/itemProps2.xml><?xml version="1.0" encoding="utf-8"?>
<ds:datastoreItem xmlns:ds="http://schemas.openxmlformats.org/officeDocument/2006/customXml" ds:itemID="{F4A183B3-2F85-4309-97DE-DF38545B1EE3}"/>
</file>

<file path=customXml/itemProps3.xml><?xml version="1.0" encoding="utf-8"?>
<ds:datastoreItem xmlns:ds="http://schemas.openxmlformats.org/officeDocument/2006/customXml" ds:itemID="{03119B33-7725-4A2B-84A9-008AC455B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Ryan Bodenstein</cp:lastModifiedBy>
  <cp:revision/>
  <dcterms:created xsi:type="dcterms:W3CDTF">2024-02-14T02:59:24Z</dcterms:created>
  <dcterms:modified xsi:type="dcterms:W3CDTF">2025-02-04T14:31:15Z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