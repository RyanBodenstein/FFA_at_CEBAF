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_FFA/FFA_at_CEBAF/"/>
    </mc:Choice>
  </mc:AlternateContent>
  <xr:revisionPtr revIDLastSave="0" documentId="13_ncr:1_{8F96E4F0-1221-C64D-AFC0-01B189B71620}" xr6:coauthVersionLast="47" xr6:coauthVersionMax="47" xr10:uidLastSave="{00000000-0000-0000-0000-000000000000}"/>
  <bookViews>
    <workbookView xWindow="4300" yWindow="2700" windowWidth="27640" windowHeight="16940" xr2:uid="{BDF9D921-58C4-B742-92C9-E944315D16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1" i="1"/>
  <c r="H3" i="1"/>
  <c r="I3" i="1" s="1"/>
  <c r="H2" i="1"/>
  <c r="I2" i="1" s="1"/>
  <c r="B8" i="1"/>
  <c r="E8" i="1" s="1"/>
  <c r="H8" i="1" s="1"/>
  <c r="F14" i="1" l="1"/>
  <c r="E14" i="1"/>
  <c r="H14" i="1" s="1"/>
  <c r="D14" i="1"/>
  <c r="G14" i="1" s="1"/>
  <c r="C14" i="1"/>
  <c r="C8" i="1"/>
  <c r="C11" i="1" s="1"/>
  <c r="D8" i="1"/>
  <c r="D11" i="1" s="1"/>
  <c r="G11" i="1" s="1"/>
  <c r="E11" i="1"/>
  <c r="H11" i="1" s="1"/>
  <c r="G8" i="1" l="1"/>
</calcChain>
</file>

<file path=xl/sharedStrings.xml><?xml version="1.0" encoding="utf-8"?>
<sst xmlns="http://schemas.openxmlformats.org/spreadsheetml/2006/main" count="32" uniqueCount="23">
  <si>
    <t>Number of sites</t>
  </si>
  <si>
    <t>Number of plates per site</t>
  </si>
  <si>
    <t>Number of Low Dose Rods Per Plate</t>
  </si>
  <si>
    <t>Number of Areas per plate</t>
  </si>
  <si>
    <t>Number of High Dose Rods per plate</t>
  </si>
  <si>
    <t>Number of Weeks of Operation</t>
  </si>
  <si>
    <t>Number of Mainenence Days (Rounded)</t>
  </si>
  <si>
    <t>Total Plates</t>
  </si>
  <si>
    <t xml:space="preserve">Total Areas </t>
  </si>
  <si>
    <t>Total Low Dose</t>
  </si>
  <si>
    <t>Total High Dose</t>
  </si>
  <si>
    <t>Per Swap:</t>
  </si>
  <si>
    <t>Total For Run:</t>
  </si>
  <si>
    <t>Areas</t>
  </si>
  <si>
    <t>Low Dose</t>
  </si>
  <si>
    <t>High Dose</t>
  </si>
  <si>
    <t>Total Through June:</t>
  </si>
  <si>
    <t>Rods/box</t>
  </si>
  <si>
    <t>Boxes Low Dose (Rounded)</t>
  </si>
  <si>
    <t>Boxes High Dose (Rounded)</t>
  </si>
  <si>
    <t>Start/Install Date</t>
  </si>
  <si>
    <t>Stop/End Date</t>
  </si>
  <si>
    <t>Rod Vials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</si>
</sst>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D783-BE86-2040-B394-8FD58406A95D}">
  <dimension ref="A1:J14"/>
  <sheetViews>
    <sheetView tabSelected="1" workbookViewId="0">
      <selection activeCell="C14" sqref="C14"/>
    </sheetView>
  </sheetViews>
  <sheetFormatPr baseColWidth="10" defaultRowHeight="16" x14ac:dyDescent="0.2"/>
  <cols>
    <col min="1" max="1" width="16.5" bestFit="1" customWidth="1"/>
    <col min="2" max="2" width="22.1640625" bestFit="1" customWidth="1"/>
    <col min="3" max="3" width="22.83203125" bestFit="1" customWidth="1"/>
    <col min="4" max="4" width="31" bestFit="1" customWidth="1"/>
    <col min="5" max="5" width="31.1640625" bestFit="1" customWidth="1"/>
    <col min="6" max="7" width="31.1640625" customWidth="1"/>
    <col min="8" max="8" width="26.83203125" bestFit="1" customWidth="1"/>
    <col min="9" max="9" width="34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20</v>
      </c>
      <c r="G1" s="1" t="s">
        <v>21</v>
      </c>
      <c r="H1" s="1" t="s">
        <v>5</v>
      </c>
      <c r="I1" s="1" t="s">
        <v>6</v>
      </c>
      <c r="J1" s="1" t="s">
        <v>17</v>
      </c>
    </row>
    <row r="2" spans="1:10" x14ac:dyDescent="0.2">
      <c r="A2">
        <v>30</v>
      </c>
      <c r="B2">
        <v>3</v>
      </c>
      <c r="C2">
        <v>1</v>
      </c>
      <c r="D2">
        <v>2</v>
      </c>
      <c r="E2">
        <v>2</v>
      </c>
      <c r="F2" s="2">
        <v>45667</v>
      </c>
      <c r="G2" s="2">
        <v>45859</v>
      </c>
      <c r="H2" s="3">
        <f>DATEDIF(F2,G2,"d")/7</f>
        <v>27.428571428571427</v>
      </c>
      <c r="I2">
        <f>ROUND(H2/2,0)</f>
        <v>14</v>
      </c>
      <c r="J2">
        <v>50</v>
      </c>
    </row>
    <row r="3" spans="1:10" x14ac:dyDescent="0.2">
      <c r="F3" s="2">
        <v>45667</v>
      </c>
      <c r="G3" s="2">
        <v>45839</v>
      </c>
      <c r="H3" s="3">
        <f>DATEDIF(F3,G3,"d")/7</f>
        <v>24.571428571428573</v>
      </c>
      <c r="I3">
        <f>ROUND(H3/2,0)</f>
        <v>12</v>
      </c>
    </row>
    <row r="7" spans="1:10" s="1" customFormat="1" x14ac:dyDescent="0.2">
      <c r="A7" s="1" t="s">
        <v>11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22</v>
      </c>
      <c r="G7" s="1" t="s">
        <v>18</v>
      </c>
      <c r="H7" s="1" t="s">
        <v>19</v>
      </c>
    </row>
    <row r="8" spans="1:10" x14ac:dyDescent="0.2">
      <c r="B8">
        <f>A2*B2</f>
        <v>90</v>
      </c>
      <c r="C8">
        <f>C2*B8</f>
        <v>90</v>
      </c>
      <c r="D8">
        <f>D2*B8</f>
        <v>180</v>
      </c>
      <c r="E8">
        <f>E2*B8</f>
        <v>180</v>
      </c>
      <c r="F8">
        <f>B8</f>
        <v>90</v>
      </c>
      <c r="G8">
        <f>ROUNDUP(D8/J2,0)</f>
        <v>4</v>
      </c>
      <c r="H8">
        <f>ROUNDUP(E8/J2,0)</f>
        <v>4</v>
      </c>
    </row>
    <row r="10" spans="1:10" s="1" customFormat="1" x14ac:dyDescent="0.2">
      <c r="A10" s="1" t="s">
        <v>12</v>
      </c>
      <c r="C10" s="1" t="s">
        <v>13</v>
      </c>
      <c r="D10" s="1" t="s">
        <v>14</v>
      </c>
      <c r="E10" s="1" t="s">
        <v>15</v>
      </c>
      <c r="F10" s="1" t="s">
        <v>22</v>
      </c>
      <c r="G10" s="1" t="s">
        <v>18</v>
      </c>
      <c r="H10" s="1" t="s">
        <v>19</v>
      </c>
    </row>
    <row r="11" spans="1:10" x14ac:dyDescent="0.2">
      <c r="C11">
        <f>C8*I2</f>
        <v>1260</v>
      </c>
      <c r="D11">
        <f>D8*I2</f>
        <v>2520</v>
      </c>
      <c r="E11">
        <f>E8*I2</f>
        <v>2520</v>
      </c>
      <c r="F11">
        <f>F8*I2</f>
        <v>1260</v>
      </c>
      <c r="G11">
        <f>ROUNDUP(D11/J2,0)</f>
        <v>51</v>
      </c>
      <c r="H11">
        <f>ROUNDUP(E11/J2,0)</f>
        <v>51</v>
      </c>
    </row>
    <row r="13" spans="1:10" s="1" customFormat="1" x14ac:dyDescent="0.2">
      <c r="A13" s="1" t="s">
        <v>16</v>
      </c>
      <c r="C13" s="1" t="s">
        <v>13</v>
      </c>
      <c r="D13" s="1" t="s">
        <v>14</v>
      </c>
      <c r="E13" s="1" t="s">
        <v>15</v>
      </c>
      <c r="F13" s="1" t="s">
        <v>22</v>
      </c>
      <c r="G13" s="1" t="s">
        <v>18</v>
      </c>
      <c r="H13" s="1" t="s">
        <v>19</v>
      </c>
    </row>
    <row r="14" spans="1:10" x14ac:dyDescent="0.2">
      <c r="C14">
        <f>C8*I3</f>
        <v>1080</v>
      </c>
      <c r="D14">
        <f>D8*I3</f>
        <v>2160</v>
      </c>
      <c r="E14">
        <f>E8*I3</f>
        <v>2160</v>
      </c>
      <c r="F14">
        <f>F8*I3</f>
        <v>1080</v>
      </c>
      <c r="G14">
        <f>ROUNDUP(D14/J2,0)</f>
        <v>44</v>
      </c>
      <c r="H14">
        <f>ROUNDUP(E14/J2,0)</f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e757f452f56656886653bd13df00f9ed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513f6f77878753cf61bc1afcb16b0ea1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2A7363-C4AC-42D8-9782-962AD6089EB9}"/>
</file>

<file path=customXml/itemProps2.xml><?xml version="1.0" encoding="utf-8"?>
<ds:datastoreItem xmlns:ds="http://schemas.openxmlformats.org/officeDocument/2006/customXml" ds:itemID="{3BCF30EE-552F-493F-A640-D6C65B83824F}"/>
</file>

<file path=customXml/itemProps3.xml><?xml version="1.0" encoding="utf-8"?>
<ds:datastoreItem xmlns:ds="http://schemas.openxmlformats.org/officeDocument/2006/customXml" ds:itemID="{7274C6AF-2DF9-488C-8AB5-6FD69B9C5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2024-11-14T15:06:11Z</dcterms:created>
  <dcterms:modified xsi:type="dcterms:W3CDTF">2024-11-15T15:25:21Z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